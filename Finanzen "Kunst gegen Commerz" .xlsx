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  <sheet state="visible" name="Tabellenblatt2" sheetId="2" r:id="rId5"/>
  </sheets>
  <definedNames/>
  <calcPr/>
</workbook>
</file>

<file path=xl/sharedStrings.xml><?xml version="1.0" encoding="utf-8"?>
<sst xmlns="http://schemas.openxmlformats.org/spreadsheetml/2006/main" count="185" uniqueCount="112">
  <si>
    <t>Kategorie</t>
  </si>
  <si>
    <t>Name des Werkes</t>
  </si>
  <si>
    <t>Künstler</t>
  </si>
  <si>
    <t xml:space="preserve">Anzahl </t>
  </si>
  <si>
    <t>Preis</t>
  </si>
  <si>
    <t>Umsatz</t>
  </si>
  <si>
    <t>Gewinn Anteil</t>
  </si>
  <si>
    <t xml:space="preserve">Gewinn Brutto </t>
  </si>
  <si>
    <t>Gebühren</t>
  </si>
  <si>
    <t>Segel 2005</t>
  </si>
  <si>
    <t>Allzeit gute Fahrt</t>
  </si>
  <si>
    <t>Tine Hermann</t>
  </si>
  <si>
    <t>Sumup</t>
  </si>
  <si>
    <t xml:space="preserve">Arkadien ist überall </t>
  </si>
  <si>
    <t>Sabine Grunitz</t>
  </si>
  <si>
    <t>Transparente 2015</t>
  </si>
  <si>
    <t>Aufgetaucht</t>
  </si>
  <si>
    <t>Karola Smy</t>
  </si>
  <si>
    <t>Segel 2012</t>
  </si>
  <si>
    <t>blue drops</t>
  </si>
  <si>
    <t>Edeltraut Rath</t>
  </si>
  <si>
    <t>Legende</t>
  </si>
  <si>
    <t>Bremerhaven</t>
  </si>
  <si>
    <t>Anja Schindler</t>
  </si>
  <si>
    <t>Gelb = hängt</t>
  </si>
  <si>
    <t>Drachen</t>
  </si>
  <si>
    <t>Barbara Terboven</t>
  </si>
  <si>
    <t xml:space="preserve">Rot = Verkauft </t>
  </si>
  <si>
    <t>Peter Adle</t>
  </si>
  <si>
    <t xml:space="preserve">Grün = Lager </t>
  </si>
  <si>
    <t>Escape</t>
  </si>
  <si>
    <t>Christian Pfeipp</t>
  </si>
  <si>
    <t>Flower Power</t>
  </si>
  <si>
    <t>Antje Siebrecht</t>
  </si>
  <si>
    <t>Humanis Love / Der Botschafter</t>
  </si>
  <si>
    <t>Philine</t>
  </si>
  <si>
    <t>La Ola</t>
  </si>
  <si>
    <t>Klaus Lubert</t>
  </si>
  <si>
    <t>Looking for what</t>
  </si>
  <si>
    <t>Tina Stoldt</t>
  </si>
  <si>
    <t>Lotsin</t>
  </si>
  <si>
    <t>Christine Groeber</t>
  </si>
  <si>
    <t>Luftspiel</t>
  </si>
  <si>
    <t>Katharina Bertzbach</t>
  </si>
  <si>
    <t>Mojen Abend</t>
  </si>
  <si>
    <t>Andi Schnitt</t>
  </si>
  <si>
    <t>Morgen / Abend</t>
  </si>
  <si>
    <t>Muscheffrau</t>
  </si>
  <si>
    <t>B. Schulte</t>
  </si>
  <si>
    <t>Nähe und Ferne</t>
  </si>
  <si>
    <t>Deborah Kim</t>
  </si>
  <si>
    <t xml:space="preserve">Ohne Titel </t>
  </si>
  <si>
    <t>Eckhard Trechlin</t>
  </si>
  <si>
    <t>pfrd anna lisa nfw</t>
  </si>
  <si>
    <t>Wolfgang in der Wiesche</t>
  </si>
  <si>
    <t xml:space="preserve">Reichweite </t>
  </si>
  <si>
    <t>Rüdiger Bahr</t>
  </si>
  <si>
    <t>Sächsisches Eilerlei</t>
  </si>
  <si>
    <t>Wolfram &amp; Christine Ebersbach</t>
  </si>
  <si>
    <t>Seeadler</t>
  </si>
  <si>
    <t>Maria Mathieue</t>
  </si>
  <si>
    <t>Sommer</t>
  </si>
  <si>
    <t>Edda Jschens</t>
  </si>
  <si>
    <t>Strickfischen/Strukturen</t>
  </si>
  <si>
    <t>Matthias Kopka</t>
  </si>
  <si>
    <t>Tidenhub</t>
  </si>
  <si>
    <t>Hagen Westphal</t>
  </si>
  <si>
    <t>Weserwind und Wunder</t>
  </si>
  <si>
    <t>Lilo C. Karsten</t>
  </si>
  <si>
    <t>Windfänger</t>
  </si>
  <si>
    <t>Wo gesungen wird, da lass Dich nieder.</t>
  </si>
  <si>
    <t>Eva Erhenberg</t>
  </si>
  <si>
    <t>Ölbild</t>
  </si>
  <si>
    <t>Auktions Ölbild</t>
  </si>
  <si>
    <t>Juri Jander</t>
  </si>
  <si>
    <t xml:space="preserve">Bild </t>
  </si>
  <si>
    <t>Unbekannt</t>
  </si>
  <si>
    <t>Titel</t>
  </si>
  <si>
    <t>Autor</t>
  </si>
  <si>
    <t>Preis Einzel</t>
  </si>
  <si>
    <t>Preis Set</t>
  </si>
  <si>
    <t>Anfangsbestand</t>
  </si>
  <si>
    <t xml:space="preserve">Verkauft einzeln </t>
  </si>
  <si>
    <t>Verkaufte Sets</t>
  </si>
  <si>
    <t>Restbestand</t>
  </si>
  <si>
    <t>U einzeln</t>
  </si>
  <si>
    <t xml:space="preserve">Umsatz </t>
  </si>
  <si>
    <t xml:space="preserve">Gewinn </t>
  </si>
  <si>
    <t>Winderäder</t>
  </si>
  <si>
    <t>(Ohne Titel)</t>
  </si>
  <si>
    <t>Wilfried Bohne</t>
  </si>
  <si>
    <t>4.00</t>
  </si>
  <si>
    <t>Annemarie Wndt</t>
  </si>
  <si>
    <t>2.00</t>
  </si>
  <si>
    <t>Carola Smy</t>
  </si>
  <si>
    <t>0.00</t>
  </si>
  <si>
    <t xml:space="preserve">Silvia Stöting </t>
  </si>
  <si>
    <t>Angelika Summa</t>
  </si>
  <si>
    <t>Tina Stölt</t>
  </si>
  <si>
    <t>Buch</t>
  </si>
  <si>
    <t>Paul Ernst Wilke</t>
  </si>
  <si>
    <t>Paul Ernst Wilke 1894-1971</t>
  </si>
  <si>
    <t>?</t>
  </si>
  <si>
    <t>Mein Haus am Meer 2</t>
  </si>
  <si>
    <t xml:space="preserve">Wilke Atelier </t>
  </si>
  <si>
    <t>1.00</t>
  </si>
  <si>
    <t>Morgen tanze  ich weiter</t>
  </si>
  <si>
    <t>Anne Marianne</t>
  </si>
  <si>
    <t>Die kreative Odyssee</t>
  </si>
  <si>
    <t>Emil Drud</t>
  </si>
  <si>
    <t>Kalender</t>
  </si>
  <si>
    <t>Sekelkunst für Optimisten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</si>
</sst>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BF9000"/>
        <bgColor rgb="FFBF9000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2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4" fontId="3" numFmtId="0" xfId="0" applyAlignment="1" applyFont="1">
      <alignment readingOrder="0"/>
    </xf>
    <xf borderId="0" fillId="3" fontId="2" numFmtId="0" xfId="0" applyAlignment="1" applyFon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4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vertical="bottom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6" fontId="4" numFmtId="4" xfId="0" applyAlignment="1" applyFill="1" applyFont="1" applyNumberFormat="1">
      <alignment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readingOrder="0" vertical="bottom"/>
    </xf>
    <xf borderId="0" fillId="4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2" fontId="4" numFmtId="164" xfId="0" applyAlignment="1" applyFont="1" applyNumberFormat="1">
      <alignment horizontal="center" vertical="bottom"/>
    </xf>
    <xf borderId="0" fillId="2" fontId="2" numFmtId="164" xfId="0" applyFont="1" applyNumberFormat="1"/>
    <xf borderId="0" fillId="7" fontId="4" numFmtId="4" xfId="0" applyAlignment="1" applyFill="1" applyFont="1" applyNumberFormat="1">
      <alignment readingOrder="0" vertical="bottom"/>
    </xf>
    <xf borderId="0" fillId="7" fontId="4" numFmtId="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0.13"/>
    <col customWidth="1" min="3" max="3" width="24.88"/>
    <col customWidth="1" min="4" max="4" width="14.75"/>
    <col customWidth="1" min="8" max="8" width="14.75"/>
    <col customWidth="1" min="9" max="9" width="21.63"/>
    <col customWidth="1" min="15" max="15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5</v>
      </c>
      <c r="I1" s="1" t="s">
        <v>7</v>
      </c>
      <c r="J1" s="1"/>
      <c r="L1" s="1" t="s">
        <v>8</v>
      </c>
      <c r="M1" s="3">
        <f>M2+M3</f>
        <v>0.025</v>
      </c>
    </row>
    <row r="2">
      <c r="A2" s="4" t="s">
        <v>9</v>
      </c>
      <c r="B2" s="4" t="s">
        <v>10</v>
      </c>
      <c r="C2" s="4" t="s">
        <v>11</v>
      </c>
      <c r="D2" s="5">
        <v>1.0</v>
      </c>
      <c r="E2" s="6">
        <v>100.0</v>
      </c>
      <c r="F2" s="6">
        <f t="shared" ref="F2:F32" si="1">D2*E2</f>
        <v>100</v>
      </c>
      <c r="G2" s="7">
        <f t="shared" ref="G2:G31" si="2">(E2*D2)*0.33</f>
        <v>33</v>
      </c>
      <c r="H2" s="8">
        <f>SUM(F2:F32)</f>
        <v>2030</v>
      </c>
      <c r="I2" s="6">
        <f>SUM(G2:G31)-(H2*M1)</f>
        <v>559.75</v>
      </c>
      <c r="L2" s="1" t="s">
        <v>12</v>
      </c>
      <c r="M2" s="4">
        <v>0.025</v>
      </c>
    </row>
    <row r="3">
      <c r="A3" s="4" t="s">
        <v>9</v>
      </c>
      <c r="B3" s="4" t="s">
        <v>13</v>
      </c>
      <c r="C3" s="4" t="s">
        <v>14</v>
      </c>
      <c r="D3" s="9">
        <v>0.0</v>
      </c>
      <c r="E3" s="6">
        <v>100.0</v>
      </c>
      <c r="F3" s="6">
        <f t="shared" si="1"/>
        <v>0</v>
      </c>
      <c r="G3" s="7">
        <f t="shared" si="2"/>
        <v>0</v>
      </c>
      <c r="H3" s="8"/>
      <c r="I3" s="6"/>
      <c r="J3" s="1"/>
      <c r="L3" s="1"/>
    </row>
    <row r="4">
      <c r="A4" s="4" t="s">
        <v>15</v>
      </c>
      <c r="B4" s="4" t="s">
        <v>16</v>
      </c>
      <c r="C4" s="4" t="s">
        <v>17</v>
      </c>
      <c r="D4" s="5">
        <v>1.0</v>
      </c>
      <c r="E4" s="6">
        <v>100.0</v>
      </c>
      <c r="F4" s="6">
        <f t="shared" si="1"/>
        <v>100</v>
      </c>
      <c r="G4" s="7">
        <f t="shared" si="2"/>
        <v>33</v>
      </c>
      <c r="H4" s="8"/>
      <c r="I4" s="6"/>
    </row>
    <row r="5">
      <c r="A5" s="4" t="s">
        <v>18</v>
      </c>
      <c r="B5" s="4" t="s">
        <v>19</v>
      </c>
      <c r="C5" s="4" t="s">
        <v>20</v>
      </c>
      <c r="D5" s="9">
        <v>0.0</v>
      </c>
      <c r="E5" s="6">
        <v>100.0</v>
      </c>
      <c r="F5" s="6">
        <f t="shared" si="1"/>
        <v>0</v>
      </c>
      <c r="G5" s="7">
        <f t="shared" si="2"/>
        <v>0</v>
      </c>
      <c r="H5" s="8"/>
      <c r="I5" s="6"/>
      <c r="L5" s="1" t="s">
        <v>21</v>
      </c>
    </row>
    <row r="6">
      <c r="A6" s="4" t="s">
        <v>15</v>
      </c>
      <c r="B6" s="4" t="s">
        <v>22</v>
      </c>
      <c r="C6" s="4" t="s">
        <v>23</v>
      </c>
      <c r="D6" s="5">
        <v>1.0</v>
      </c>
      <c r="E6" s="6">
        <v>100.0</v>
      </c>
      <c r="F6" s="6">
        <f t="shared" si="1"/>
        <v>100</v>
      </c>
      <c r="G6" s="7">
        <f t="shared" si="2"/>
        <v>33</v>
      </c>
      <c r="H6" s="8"/>
      <c r="I6" s="6"/>
      <c r="L6" s="10" t="s">
        <v>24</v>
      </c>
    </row>
    <row r="7">
      <c r="A7" s="4" t="s">
        <v>18</v>
      </c>
      <c r="B7" s="4" t="s">
        <v>25</v>
      </c>
      <c r="C7" s="4" t="s">
        <v>26</v>
      </c>
      <c r="D7" s="9">
        <v>0.0</v>
      </c>
      <c r="E7" s="6">
        <v>100.0</v>
      </c>
      <c r="F7" s="6">
        <f t="shared" si="1"/>
        <v>0</v>
      </c>
      <c r="G7" s="7">
        <f t="shared" si="2"/>
        <v>0</v>
      </c>
      <c r="H7" s="8"/>
      <c r="I7" s="6"/>
      <c r="L7" s="11" t="s">
        <v>27</v>
      </c>
    </row>
    <row r="8">
      <c r="A8" s="4" t="s">
        <v>15</v>
      </c>
      <c r="B8" s="4" t="s">
        <v>25</v>
      </c>
      <c r="C8" s="4" t="s">
        <v>28</v>
      </c>
      <c r="D8" s="12">
        <v>0.0</v>
      </c>
      <c r="E8" s="6">
        <v>100.0</v>
      </c>
      <c r="F8" s="6">
        <f t="shared" si="1"/>
        <v>0</v>
      </c>
      <c r="G8" s="7">
        <f t="shared" si="2"/>
        <v>0</v>
      </c>
      <c r="H8" s="8"/>
      <c r="I8" s="6"/>
      <c r="L8" s="13" t="s">
        <v>29</v>
      </c>
    </row>
    <row r="9">
      <c r="A9" s="4" t="s">
        <v>15</v>
      </c>
      <c r="B9" s="4" t="s">
        <v>30</v>
      </c>
      <c r="C9" s="4" t="s">
        <v>31</v>
      </c>
      <c r="D9" s="5">
        <v>1.0</v>
      </c>
      <c r="E9" s="6">
        <v>100.0</v>
      </c>
      <c r="F9" s="6">
        <f t="shared" si="1"/>
        <v>100</v>
      </c>
      <c r="G9" s="7">
        <f t="shared" si="2"/>
        <v>33</v>
      </c>
      <c r="H9" s="8"/>
      <c r="I9" s="6"/>
    </row>
    <row r="10">
      <c r="A10" s="4" t="s">
        <v>18</v>
      </c>
      <c r="B10" s="4" t="s">
        <v>32</v>
      </c>
      <c r="C10" s="4" t="s">
        <v>33</v>
      </c>
      <c r="D10" s="9">
        <v>0.0</v>
      </c>
      <c r="E10" s="6">
        <v>100.0</v>
      </c>
      <c r="F10" s="6">
        <f t="shared" si="1"/>
        <v>0</v>
      </c>
      <c r="G10" s="7">
        <f t="shared" si="2"/>
        <v>0</v>
      </c>
      <c r="H10" s="8"/>
      <c r="I10" s="6"/>
    </row>
    <row r="11">
      <c r="A11" s="4" t="s">
        <v>18</v>
      </c>
      <c r="B11" s="4" t="s">
        <v>34</v>
      </c>
      <c r="C11" s="4" t="s">
        <v>35</v>
      </c>
      <c r="D11" s="9">
        <v>0.0</v>
      </c>
      <c r="E11" s="6">
        <v>100.0</v>
      </c>
      <c r="F11" s="6">
        <f t="shared" si="1"/>
        <v>0</v>
      </c>
      <c r="G11" s="7">
        <f t="shared" si="2"/>
        <v>0</v>
      </c>
      <c r="H11" s="8"/>
      <c r="I11" s="6"/>
    </row>
    <row r="12">
      <c r="A12" s="4" t="s">
        <v>15</v>
      </c>
      <c r="B12" s="4" t="s">
        <v>36</v>
      </c>
      <c r="C12" s="4" t="s">
        <v>37</v>
      </c>
      <c r="D12" s="12">
        <v>0.0</v>
      </c>
      <c r="E12" s="6">
        <v>100.0</v>
      </c>
      <c r="F12" s="6">
        <f t="shared" si="1"/>
        <v>0</v>
      </c>
      <c r="G12" s="7">
        <f t="shared" si="2"/>
        <v>0</v>
      </c>
      <c r="H12" s="8"/>
      <c r="I12" s="6"/>
    </row>
    <row r="13">
      <c r="A13" s="4" t="s">
        <v>15</v>
      </c>
      <c r="B13" s="4" t="s">
        <v>38</v>
      </c>
      <c r="C13" s="4" t="s">
        <v>39</v>
      </c>
      <c r="D13" s="12">
        <v>0.0</v>
      </c>
      <c r="E13" s="6">
        <v>100.0</v>
      </c>
      <c r="F13" s="6">
        <f t="shared" si="1"/>
        <v>0</v>
      </c>
      <c r="G13" s="7">
        <f t="shared" si="2"/>
        <v>0</v>
      </c>
      <c r="H13" s="8"/>
      <c r="I13" s="6"/>
    </row>
    <row r="14">
      <c r="A14" s="4" t="s">
        <v>15</v>
      </c>
      <c r="B14" s="4" t="s">
        <v>40</v>
      </c>
      <c r="C14" s="4" t="s">
        <v>41</v>
      </c>
      <c r="D14" s="9">
        <v>0.0</v>
      </c>
      <c r="E14" s="6">
        <v>100.0</v>
      </c>
      <c r="F14" s="6">
        <f t="shared" si="1"/>
        <v>0</v>
      </c>
      <c r="G14" s="7">
        <f t="shared" si="2"/>
        <v>0</v>
      </c>
      <c r="H14" s="8"/>
      <c r="I14" s="6"/>
    </row>
    <row r="15">
      <c r="A15" s="4" t="s">
        <v>15</v>
      </c>
      <c r="B15" s="4" t="s">
        <v>42</v>
      </c>
      <c r="C15" s="4" t="s">
        <v>43</v>
      </c>
      <c r="D15" s="9">
        <v>0.0</v>
      </c>
      <c r="E15" s="6">
        <v>100.0</v>
      </c>
      <c r="F15" s="6">
        <f t="shared" si="1"/>
        <v>0</v>
      </c>
      <c r="G15" s="7">
        <f t="shared" si="2"/>
        <v>0</v>
      </c>
      <c r="H15" s="8"/>
      <c r="I15" s="6"/>
    </row>
    <row r="16">
      <c r="A16" s="4" t="s">
        <v>9</v>
      </c>
      <c r="B16" s="4" t="s">
        <v>44</v>
      </c>
      <c r="C16" s="4" t="s">
        <v>45</v>
      </c>
      <c r="D16" s="5">
        <v>1.0</v>
      </c>
      <c r="E16" s="6">
        <v>100.0</v>
      </c>
      <c r="F16" s="6">
        <f t="shared" si="1"/>
        <v>100</v>
      </c>
      <c r="G16" s="7">
        <f t="shared" si="2"/>
        <v>33</v>
      </c>
      <c r="H16" s="8"/>
      <c r="I16" s="6"/>
    </row>
    <row r="17">
      <c r="A17" s="4" t="s">
        <v>9</v>
      </c>
      <c r="B17" s="4" t="s">
        <v>46</v>
      </c>
      <c r="C17" s="4" t="s">
        <v>45</v>
      </c>
      <c r="D17" s="12">
        <v>0.0</v>
      </c>
      <c r="E17" s="6">
        <v>100.0</v>
      </c>
      <c r="F17" s="6">
        <f t="shared" si="1"/>
        <v>0</v>
      </c>
      <c r="G17" s="7">
        <f t="shared" si="2"/>
        <v>0</v>
      </c>
      <c r="H17" s="8"/>
      <c r="I17" s="6"/>
    </row>
    <row r="18">
      <c r="A18" s="4" t="s">
        <v>15</v>
      </c>
      <c r="B18" s="4" t="s">
        <v>47</v>
      </c>
      <c r="C18" s="4" t="s">
        <v>48</v>
      </c>
      <c r="D18" s="5">
        <v>1.0</v>
      </c>
      <c r="E18" s="6">
        <v>100.0</v>
      </c>
      <c r="F18" s="6">
        <f t="shared" si="1"/>
        <v>100</v>
      </c>
      <c r="G18" s="7">
        <f t="shared" si="2"/>
        <v>33</v>
      </c>
      <c r="H18" s="8"/>
      <c r="I18" s="6"/>
    </row>
    <row r="19">
      <c r="A19" s="4" t="s">
        <v>15</v>
      </c>
      <c r="B19" s="4" t="s">
        <v>49</v>
      </c>
      <c r="C19" s="4" t="s">
        <v>50</v>
      </c>
      <c r="D19" s="12">
        <v>0.0</v>
      </c>
      <c r="E19" s="6">
        <v>100.0</v>
      </c>
      <c r="F19" s="6">
        <f t="shared" si="1"/>
        <v>0</v>
      </c>
      <c r="G19" s="7">
        <f t="shared" si="2"/>
        <v>0</v>
      </c>
      <c r="H19" s="8"/>
      <c r="I19" s="6"/>
    </row>
    <row r="20">
      <c r="A20" s="4" t="s">
        <v>9</v>
      </c>
      <c r="B20" s="4" t="s">
        <v>51</v>
      </c>
      <c r="C20" s="4" t="s">
        <v>52</v>
      </c>
      <c r="D20" s="12">
        <v>0.0</v>
      </c>
      <c r="E20" s="6">
        <v>100.0</v>
      </c>
      <c r="F20" s="6">
        <f t="shared" si="1"/>
        <v>0</v>
      </c>
      <c r="G20" s="7">
        <f t="shared" si="2"/>
        <v>0</v>
      </c>
      <c r="H20" s="8"/>
      <c r="I20" s="6"/>
    </row>
    <row r="21">
      <c r="A21" s="4" t="s">
        <v>18</v>
      </c>
      <c r="B21" s="4" t="s">
        <v>53</v>
      </c>
      <c r="C21" s="4" t="s">
        <v>54</v>
      </c>
      <c r="D21" s="9">
        <v>0.0</v>
      </c>
      <c r="E21" s="6">
        <v>100.0</v>
      </c>
      <c r="F21" s="6">
        <f t="shared" si="1"/>
        <v>0</v>
      </c>
      <c r="G21" s="7">
        <f t="shared" si="2"/>
        <v>0</v>
      </c>
      <c r="H21" s="8"/>
      <c r="I21" s="6"/>
    </row>
    <row r="22">
      <c r="A22" s="4" t="s">
        <v>15</v>
      </c>
      <c r="B22" s="4" t="s">
        <v>55</v>
      </c>
      <c r="C22" s="4" t="s">
        <v>56</v>
      </c>
      <c r="D22" s="5">
        <v>1.0</v>
      </c>
      <c r="E22" s="6">
        <v>100.0</v>
      </c>
      <c r="F22" s="6">
        <f t="shared" si="1"/>
        <v>100</v>
      </c>
      <c r="G22" s="7">
        <f t="shared" si="2"/>
        <v>33</v>
      </c>
      <c r="H22" s="8"/>
      <c r="I22" s="6"/>
    </row>
    <row r="23">
      <c r="A23" s="4" t="s">
        <v>18</v>
      </c>
      <c r="B23" s="4" t="s">
        <v>57</v>
      </c>
      <c r="C23" s="4" t="s">
        <v>58</v>
      </c>
      <c r="D23" s="5">
        <v>1.0</v>
      </c>
      <c r="E23" s="6">
        <v>100.0</v>
      </c>
      <c r="F23" s="6">
        <f t="shared" si="1"/>
        <v>100</v>
      </c>
      <c r="G23" s="7">
        <f t="shared" si="2"/>
        <v>33</v>
      </c>
      <c r="H23" s="8"/>
      <c r="I23" s="6"/>
    </row>
    <row r="24">
      <c r="A24" s="4" t="s">
        <v>18</v>
      </c>
      <c r="B24" s="4" t="s">
        <v>59</v>
      </c>
      <c r="C24" s="4" t="s">
        <v>60</v>
      </c>
      <c r="D24" s="5">
        <v>1.0</v>
      </c>
      <c r="E24" s="6">
        <v>100.0</v>
      </c>
      <c r="F24" s="6">
        <f t="shared" si="1"/>
        <v>100</v>
      </c>
      <c r="G24" s="7">
        <f t="shared" si="2"/>
        <v>33</v>
      </c>
      <c r="H24" s="8"/>
      <c r="I24" s="6"/>
    </row>
    <row r="25">
      <c r="A25" s="4" t="s">
        <v>9</v>
      </c>
      <c r="B25" s="4" t="s">
        <v>61</v>
      </c>
      <c r="C25" s="4" t="s">
        <v>62</v>
      </c>
      <c r="D25" s="12">
        <v>0.0</v>
      </c>
      <c r="E25" s="6">
        <v>100.0</v>
      </c>
      <c r="F25" s="6">
        <f t="shared" si="1"/>
        <v>0</v>
      </c>
      <c r="G25" s="7">
        <f t="shared" si="2"/>
        <v>0</v>
      </c>
      <c r="H25" s="8"/>
      <c r="I25" s="6"/>
    </row>
    <row r="26">
      <c r="A26" s="4" t="s">
        <v>15</v>
      </c>
      <c r="B26" s="4" t="s">
        <v>63</v>
      </c>
      <c r="C26" s="4" t="s">
        <v>64</v>
      </c>
      <c r="D26" s="12">
        <v>0.0</v>
      </c>
      <c r="E26" s="6">
        <v>100.0</v>
      </c>
      <c r="F26" s="6">
        <f t="shared" si="1"/>
        <v>0</v>
      </c>
      <c r="G26" s="7">
        <f t="shared" si="2"/>
        <v>0</v>
      </c>
      <c r="H26" s="8"/>
      <c r="I26" s="6"/>
    </row>
    <row r="27">
      <c r="A27" s="4" t="s">
        <v>15</v>
      </c>
      <c r="B27" s="4" t="s">
        <v>65</v>
      </c>
      <c r="C27" s="4" t="s">
        <v>66</v>
      </c>
      <c r="D27" s="5">
        <v>1.0</v>
      </c>
      <c r="E27" s="6">
        <v>100.0</v>
      </c>
      <c r="F27" s="6">
        <f t="shared" si="1"/>
        <v>100</v>
      </c>
      <c r="G27" s="7">
        <f t="shared" si="2"/>
        <v>33</v>
      </c>
      <c r="H27" s="8"/>
      <c r="I27" s="6"/>
    </row>
    <row r="28">
      <c r="A28" s="4" t="s">
        <v>9</v>
      </c>
      <c r="B28" s="4" t="s">
        <v>67</v>
      </c>
      <c r="C28" s="4" t="s">
        <v>68</v>
      </c>
      <c r="D28" s="12">
        <v>0.0</v>
      </c>
      <c r="E28" s="6">
        <v>100.0</v>
      </c>
      <c r="F28" s="6">
        <f t="shared" si="1"/>
        <v>0</v>
      </c>
      <c r="G28" s="7">
        <f t="shared" si="2"/>
        <v>0</v>
      </c>
      <c r="H28" s="8"/>
      <c r="I28" s="6"/>
    </row>
    <row r="29">
      <c r="A29" s="4" t="s">
        <v>9</v>
      </c>
      <c r="B29" s="4" t="s">
        <v>69</v>
      </c>
      <c r="C29" s="4" t="s">
        <v>54</v>
      </c>
      <c r="D29" s="12">
        <v>0.0</v>
      </c>
      <c r="E29" s="6">
        <v>100.0</v>
      </c>
      <c r="F29" s="6">
        <f t="shared" si="1"/>
        <v>0</v>
      </c>
      <c r="G29" s="7">
        <f t="shared" si="2"/>
        <v>0</v>
      </c>
      <c r="H29" s="8"/>
      <c r="I29" s="6"/>
    </row>
    <row r="30">
      <c r="A30" s="4" t="s">
        <v>18</v>
      </c>
      <c r="B30" s="4" t="s">
        <v>70</v>
      </c>
      <c r="C30" s="4" t="s">
        <v>71</v>
      </c>
      <c r="D30" s="5">
        <v>1.0</v>
      </c>
      <c r="E30" s="6">
        <v>100.0</v>
      </c>
      <c r="F30" s="6">
        <f t="shared" si="1"/>
        <v>100</v>
      </c>
      <c r="G30" s="7">
        <f t="shared" si="2"/>
        <v>33</v>
      </c>
      <c r="H30" s="8"/>
      <c r="I30" s="6"/>
    </row>
    <row r="31">
      <c r="A31" s="4" t="s">
        <v>72</v>
      </c>
      <c r="B31" s="4" t="s">
        <v>73</v>
      </c>
      <c r="C31" s="4" t="s">
        <v>74</v>
      </c>
      <c r="D31" s="5">
        <v>1.0</v>
      </c>
      <c r="E31" s="6">
        <v>750.0</v>
      </c>
      <c r="F31" s="6">
        <f t="shared" si="1"/>
        <v>750</v>
      </c>
      <c r="G31" s="7">
        <f t="shared" si="2"/>
        <v>247.5</v>
      </c>
      <c r="H31" s="14"/>
      <c r="I31" s="6"/>
    </row>
    <row r="32" ht="16.5" customHeight="1">
      <c r="A32" s="4" t="s">
        <v>75</v>
      </c>
      <c r="B32" s="4" t="s">
        <v>72</v>
      </c>
      <c r="C32" s="4" t="s">
        <v>76</v>
      </c>
      <c r="D32" s="5">
        <v>1.0</v>
      </c>
      <c r="E32" s="6">
        <v>180.0</v>
      </c>
      <c r="F32" s="6">
        <f t="shared" si="1"/>
        <v>180</v>
      </c>
      <c r="G32" s="7">
        <f>(E32*D32)*0</f>
        <v>0</v>
      </c>
      <c r="H32" s="8"/>
      <c r="I32" s="6"/>
    </row>
    <row r="33">
      <c r="D33" s="14"/>
      <c r="E33" s="6"/>
      <c r="F33" s="6"/>
      <c r="H33" s="14"/>
      <c r="I33" s="6"/>
    </row>
    <row r="34">
      <c r="D34" s="14"/>
      <c r="E34" s="6"/>
      <c r="F34" s="6"/>
      <c r="H34" s="14"/>
      <c r="I34" s="6"/>
    </row>
    <row r="35">
      <c r="D35" s="14"/>
      <c r="E35" s="6"/>
      <c r="F35" s="6"/>
      <c r="H35" s="14"/>
      <c r="I35" s="6"/>
    </row>
    <row r="36">
      <c r="D36" s="14"/>
      <c r="E36" s="6"/>
      <c r="F36" s="6"/>
      <c r="H36" s="14"/>
      <c r="I36" s="6"/>
    </row>
    <row r="37">
      <c r="D37" s="14"/>
      <c r="E37" s="6"/>
      <c r="F37" s="6"/>
      <c r="H37" s="14"/>
      <c r="I37" s="6"/>
    </row>
    <row r="38">
      <c r="D38" s="14"/>
      <c r="E38" s="6"/>
      <c r="F38" s="6"/>
      <c r="H38" s="14"/>
      <c r="I38" s="6"/>
    </row>
    <row r="39">
      <c r="D39" s="14"/>
      <c r="E39" s="6"/>
      <c r="F39" s="6"/>
      <c r="H39" s="14"/>
      <c r="I39" s="6"/>
    </row>
    <row r="40">
      <c r="D40" s="14"/>
      <c r="E40" s="6"/>
      <c r="F40" s="6"/>
      <c r="H40" s="14"/>
      <c r="I40" s="6"/>
    </row>
    <row r="41">
      <c r="D41" s="14"/>
      <c r="E41" s="6"/>
      <c r="F41" s="6"/>
      <c r="H41" s="14"/>
      <c r="I41" s="6"/>
    </row>
    <row r="42">
      <c r="D42" s="6"/>
      <c r="E42" s="6"/>
      <c r="F42" s="6"/>
      <c r="H42" s="6"/>
      <c r="I42" s="6"/>
    </row>
    <row r="43">
      <c r="D43" s="6"/>
      <c r="E43" s="6"/>
      <c r="F43" s="6"/>
      <c r="H43" s="6"/>
      <c r="I43" s="6"/>
    </row>
    <row r="44">
      <c r="D44" s="6"/>
      <c r="E44" s="6"/>
      <c r="F44" s="6"/>
      <c r="H44" s="6"/>
      <c r="I44" s="6"/>
    </row>
    <row r="45">
      <c r="D45" s="6"/>
      <c r="E45" s="6"/>
      <c r="F45" s="6"/>
      <c r="H45" s="6"/>
      <c r="I45" s="6"/>
    </row>
    <row r="46">
      <c r="D46" s="6"/>
      <c r="E46" s="6"/>
      <c r="F46" s="6"/>
      <c r="H46" s="6"/>
      <c r="I46" s="6"/>
    </row>
    <row r="50">
      <c r="B50" s="15"/>
      <c r="C50" s="15"/>
      <c r="D50" s="15"/>
      <c r="E50" s="16"/>
      <c r="F50" s="16"/>
      <c r="G50" s="17"/>
      <c r="H50" s="18"/>
      <c r="I50" s="17"/>
      <c r="J50" s="19"/>
    </row>
    <row r="51">
      <c r="B51" s="15"/>
      <c r="C51" s="15"/>
      <c r="D51" s="15"/>
      <c r="E51" s="18"/>
      <c r="F51" s="18"/>
      <c r="G51" s="17"/>
      <c r="H51" s="16"/>
      <c r="I51" s="17"/>
      <c r="J51" s="19"/>
    </row>
    <row r="52">
      <c r="B52" s="15"/>
      <c r="C52" s="15"/>
      <c r="D52" s="15"/>
      <c r="E52" s="16"/>
      <c r="F52" s="16"/>
      <c r="G52" s="17"/>
      <c r="H52" s="18"/>
      <c r="I52" s="17"/>
      <c r="J52" s="19"/>
    </row>
    <row r="53">
      <c r="B53" s="15"/>
      <c r="C53" s="15"/>
      <c r="D53" s="15"/>
      <c r="E53" s="18"/>
      <c r="F53" s="18"/>
      <c r="G53" s="17"/>
      <c r="H53" s="16"/>
      <c r="I53" s="17"/>
      <c r="J53" s="19"/>
    </row>
    <row r="54">
      <c r="B54" s="15"/>
      <c r="C54" s="15"/>
      <c r="D54" s="15"/>
      <c r="E54" s="18"/>
      <c r="F54" s="18"/>
      <c r="G54" s="17"/>
      <c r="H54" s="18"/>
      <c r="I54" s="17"/>
      <c r="J54" s="19"/>
    </row>
    <row r="55">
      <c r="B55" s="15"/>
      <c r="C55" s="15"/>
      <c r="D55" s="15"/>
      <c r="E55" s="18"/>
      <c r="F55" s="18"/>
      <c r="G55" s="17"/>
      <c r="H55" s="16"/>
      <c r="I55" s="17"/>
      <c r="J55" s="19"/>
    </row>
    <row r="56">
      <c r="B56" s="15"/>
      <c r="C56" s="15"/>
      <c r="D56" s="15"/>
      <c r="E56" s="18"/>
      <c r="F56" s="18"/>
      <c r="G56" s="17"/>
      <c r="H56" s="18"/>
      <c r="I56" s="17"/>
      <c r="J56" s="19"/>
    </row>
    <row r="57">
      <c r="B57" s="15"/>
      <c r="C57" s="15"/>
      <c r="D57" s="15"/>
      <c r="E57" s="16"/>
      <c r="F57" s="16"/>
      <c r="G57" s="17"/>
      <c r="H57" s="18"/>
      <c r="I57" s="17"/>
      <c r="J57" s="19"/>
    </row>
    <row r="58">
      <c r="B58" s="15"/>
      <c r="C58" s="15"/>
      <c r="D58" s="15"/>
      <c r="E58" s="16"/>
      <c r="F58" s="16"/>
      <c r="G58" s="17"/>
      <c r="H58" s="18"/>
      <c r="I58" s="17"/>
      <c r="J58" s="19"/>
    </row>
    <row r="59">
      <c r="B59" s="15"/>
      <c r="C59" s="15"/>
      <c r="D59" s="15"/>
      <c r="E59" s="16"/>
      <c r="F59" s="16"/>
      <c r="G59" s="17"/>
      <c r="H59" s="18"/>
      <c r="I59" s="17"/>
      <c r="J59" s="19"/>
    </row>
    <row r="60">
      <c r="B60" s="15"/>
      <c r="C60" s="15"/>
      <c r="D60" s="15"/>
      <c r="E60" s="20"/>
      <c r="F60" s="20"/>
      <c r="G60" s="20"/>
      <c r="H60" s="20"/>
      <c r="I60" s="17"/>
      <c r="J60" s="19"/>
    </row>
    <row r="61">
      <c r="B61" s="15"/>
      <c r="C61" s="15"/>
      <c r="D61" s="15"/>
      <c r="E61" s="20"/>
      <c r="F61" s="20"/>
      <c r="G61" s="20"/>
      <c r="H61" s="20"/>
      <c r="I61" s="17"/>
      <c r="J61" s="19"/>
    </row>
    <row r="62">
      <c r="B62" s="15"/>
      <c r="C62" s="15"/>
      <c r="D62" s="15"/>
      <c r="E62" s="20"/>
      <c r="F62" s="20"/>
      <c r="G62" s="20"/>
      <c r="H62" s="20"/>
      <c r="I62" s="17"/>
      <c r="J62" s="19"/>
    </row>
    <row r="63">
      <c r="B63" s="15"/>
      <c r="C63" s="15"/>
      <c r="D63" s="15"/>
      <c r="E63" s="20"/>
      <c r="F63" s="20"/>
      <c r="G63" s="20"/>
      <c r="H63" s="20"/>
      <c r="I63" s="17"/>
      <c r="J63" s="19"/>
    </row>
    <row r="64">
      <c r="B64" s="15"/>
      <c r="C64" s="15"/>
      <c r="D64" s="15"/>
      <c r="E64" s="20"/>
      <c r="F64" s="20"/>
      <c r="G64" s="20"/>
      <c r="H64" s="20"/>
      <c r="I64" s="17"/>
      <c r="J64" s="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1.63"/>
    <col customWidth="1" min="4" max="4" width="12.88"/>
    <col customWidth="1" min="5" max="5" width="10.88"/>
    <col customWidth="1" min="6" max="6" width="18.13"/>
    <col customWidth="1" min="7" max="7" width="18.75"/>
    <col customWidth="1" min="8" max="8" width="15.13"/>
  </cols>
  <sheetData>
    <row r="1">
      <c r="A1" s="21" t="s">
        <v>0</v>
      </c>
      <c r="B1" s="21" t="s">
        <v>77</v>
      </c>
      <c r="C1" s="21" t="s">
        <v>78</v>
      </c>
      <c r="D1" s="21" t="s">
        <v>79</v>
      </c>
      <c r="E1" s="21" t="s">
        <v>80</v>
      </c>
      <c r="F1" s="21" t="s">
        <v>81</v>
      </c>
      <c r="G1" s="21" t="s">
        <v>82</v>
      </c>
      <c r="H1" s="21" t="s">
        <v>83</v>
      </c>
      <c r="I1" s="21" t="s">
        <v>84</v>
      </c>
      <c r="J1" s="21" t="s">
        <v>85</v>
      </c>
      <c r="K1" s="21" t="s">
        <v>86</v>
      </c>
      <c r="L1" s="21" t="s">
        <v>87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15" t="s">
        <v>88</v>
      </c>
      <c r="B2" s="15" t="s">
        <v>89</v>
      </c>
      <c r="C2" s="15" t="s">
        <v>90</v>
      </c>
      <c r="D2" s="6">
        <v>30.0</v>
      </c>
      <c r="E2" s="6">
        <v>100.0</v>
      </c>
      <c r="F2" s="23">
        <v>4.0</v>
      </c>
      <c r="G2" s="24">
        <v>0.0</v>
      </c>
      <c r="H2" s="25">
        <v>0.0</v>
      </c>
      <c r="I2" s="26" t="s">
        <v>91</v>
      </c>
      <c r="J2" s="27">
        <v>0.0</v>
      </c>
      <c r="K2" s="28">
        <f>SUM(J2:J11)</f>
        <v>480</v>
      </c>
      <c r="L2" s="29">
        <f>SUM(K2*0.33)</f>
        <v>158.4</v>
      </c>
    </row>
    <row r="3">
      <c r="A3" s="15" t="s">
        <v>88</v>
      </c>
      <c r="B3" s="15" t="s">
        <v>89</v>
      </c>
      <c r="C3" s="15" t="s">
        <v>92</v>
      </c>
      <c r="D3" s="6">
        <v>30.0</v>
      </c>
      <c r="E3" s="6">
        <v>100.0</v>
      </c>
      <c r="F3" s="23">
        <v>4.0</v>
      </c>
      <c r="G3" s="30">
        <v>2.0</v>
      </c>
      <c r="H3" s="25">
        <v>0.0</v>
      </c>
      <c r="I3" s="26" t="s">
        <v>93</v>
      </c>
      <c r="J3" s="27">
        <v>60.0</v>
      </c>
      <c r="K3" s="19"/>
    </row>
    <row r="4">
      <c r="A4" s="15" t="s">
        <v>88</v>
      </c>
      <c r="B4" s="15" t="s">
        <v>89</v>
      </c>
      <c r="C4" s="15" t="s">
        <v>54</v>
      </c>
      <c r="D4" s="6">
        <v>30.0</v>
      </c>
      <c r="E4" s="6">
        <v>100.0</v>
      </c>
      <c r="F4" s="23">
        <v>4.0</v>
      </c>
      <c r="G4" s="24">
        <v>0.0</v>
      </c>
      <c r="H4" s="25">
        <v>0.0</v>
      </c>
      <c r="I4" s="26" t="s">
        <v>91</v>
      </c>
      <c r="J4" s="27">
        <v>0.0</v>
      </c>
      <c r="K4" s="19"/>
    </row>
    <row r="5">
      <c r="A5" s="15" t="s">
        <v>88</v>
      </c>
      <c r="B5" s="15" t="s">
        <v>89</v>
      </c>
      <c r="C5" s="15" t="s">
        <v>64</v>
      </c>
      <c r="D5" s="6">
        <v>30.0</v>
      </c>
      <c r="E5" s="6">
        <v>100.0</v>
      </c>
      <c r="F5" s="23">
        <v>4.0</v>
      </c>
      <c r="G5" s="30">
        <v>2.0</v>
      </c>
      <c r="H5" s="25">
        <v>0.0</v>
      </c>
      <c r="I5" s="26" t="s">
        <v>93</v>
      </c>
      <c r="J5" s="27">
        <v>60.0</v>
      </c>
      <c r="K5" s="19"/>
    </row>
    <row r="6">
      <c r="A6" s="15" t="s">
        <v>88</v>
      </c>
      <c r="B6" s="15" t="s">
        <v>89</v>
      </c>
      <c r="C6" s="15" t="s">
        <v>94</v>
      </c>
      <c r="D6" s="6">
        <v>30.0</v>
      </c>
      <c r="E6" s="6">
        <v>100.0</v>
      </c>
      <c r="F6" s="23">
        <v>4.0</v>
      </c>
      <c r="G6" s="30">
        <v>2.0</v>
      </c>
      <c r="H6" s="25">
        <v>0.0</v>
      </c>
      <c r="I6" s="26" t="s">
        <v>93</v>
      </c>
      <c r="J6" s="27">
        <v>60.0</v>
      </c>
      <c r="K6" s="19"/>
    </row>
    <row r="7">
      <c r="A7" s="15" t="s">
        <v>88</v>
      </c>
      <c r="B7" s="15" t="s">
        <v>89</v>
      </c>
      <c r="C7" s="15" t="s">
        <v>28</v>
      </c>
      <c r="D7" s="6">
        <v>30.0</v>
      </c>
      <c r="E7" s="6">
        <v>100.0</v>
      </c>
      <c r="F7" s="23">
        <v>4.0</v>
      </c>
      <c r="G7" s="25">
        <v>0.0</v>
      </c>
      <c r="H7" s="30">
        <v>1.0</v>
      </c>
      <c r="I7" s="26" t="s">
        <v>95</v>
      </c>
      <c r="J7" s="27">
        <v>120.0</v>
      </c>
      <c r="K7" s="19"/>
    </row>
    <row r="8">
      <c r="A8" s="15" t="s">
        <v>88</v>
      </c>
      <c r="B8" s="15" t="s">
        <v>89</v>
      </c>
      <c r="C8" s="15" t="s">
        <v>66</v>
      </c>
      <c r="D8" s="6">
        <v>30.0</v>
      </c>
      <c r="E8" s="6">
        <v>100.0</v>
      </c>
      <c r="F8" s="23">
        <v>4.0</v>
      </c>
      <c r="G8" s="25">
        <v>0.0</v>
      </c>
      <c r="H8" s="25">
        <v>0.0</v>
      </c>
      <c r="I8" s="26" t="s">
        <v>91</v>
      </c>
      <c r="J8" s="27">
        <v>0.0</v>
      </c>
      <c r="K8" s="19"/>
    </row>
    <row r="9">
      <c r="A9" s="15" t="s">
        <v>88</v>
      </c>
      <c r="B9" s="15" t="s">
        <v>89</v>
      </c>
      <c r="C9" s="15" t="s">
        <v>96</v>
      </c>
      <c r="D9" s="6">
        <v>30.0</v>
      </c>
      <c r="E9" s="6">
        <v>100.0</v>
      </c>
      <c r="F9" s="23">
        <v>4.0</v>
      </c>
      <c r="G9" s="24">
        <v>0.0</v>
      </c>
      <c r="H9" s="25">
        <v>0.0</v>
      </c>
      <c r="I9" s="26" t="s">
        <v>91</v>
      </c>
      <c r="J9" s="27">
        <v>0.0</v>
      </c>
      <c r="K9" s="19"/>
    </row>
    <row r="10">
      <c r="A10" s="15" t="s">
        <v>88</v>
      </c>
      <c r="B10" s="15" t="s">
        <v>89</v>
      </c>
      <c r="C10" s="15" t="s">
        <v>97</v>
      </c>
      <c r="D10" s="6">
        <v>30.0</v>
      </c>
      <c r="E10" s="6">
        <v>100.0</v>
      </c>
      <c r="F10" s="23">
        <v>4.0</v>
      </c>
      <c r="G10" s="24">
        <v>0.0</v>
      </c>
      <c r="H10" s="30">
        <v>1.0</v>
      </c>
      <c r="I10" s="26" t="s">
        <v>95</v>
      </c>
      <c r="J10" s="27">
        <v>120.0</v>
      </c>
      <c r="K10" s="19"/>
    </row>
    <row r="11" ht="16.5" customHeight="1">
      <c r="A11" s="15" t="s">
        <v>88</v>
      </c>
      <c r="B11" s="15" t="s">
        <v>89</v>
      </c>
      <c r="C11" s="15" t="s">
        <v>98</v>
      </c>
      <c r="D11" s="6">
        <v>30.0</v>
      </c>
      <c r="E11" s="6">
        <v>100.0</v>
      </c>
      <c r="F11" s="23">
        <v>4.0</v>
      </c>
      <c r="G11" s="31">
        <v>2.0</v>
      </c>
      <c r="H11" s="25">
        <v>0.0</v>
      </c>
      <c r="I11" s="26" t="s">
        <v>93</v>
      </c>
      <c r="J11" s="27">
        <v>60.0</v>
      </c>
      <c r="K11" s="19"/>
    </row>
    <row r="12" ht="16.5" customHeight="1">
      <c r="A12" s="15"/>
      <c r="B12" s="15"/>
      <c r="C12" s="15"/>
      <c r="D12" s="6"/>
      <c r="E12" s="6"/>
      <c r="F12" s="25"/>
      <c r="G12" s="16"/>
      <c r="H12" s="25"/>
      <c r="I12" s="27"/>
      <c r="J12" s="17"/>
      <c r="K12" s="19"/>
    </row>
    <row r="13">
      <c r="A13" s="15" t="s">
        <v>99</v>
      </c>
      <c r="B13" s="15" t="s">
        <v>100</v>
      </c>
      <c r="C13" s="15" t="s">
        <v>101</v>
      </c>
      <c r="D13" s="6">
        <v>15.0</v>
      </c>
      <c r="E13" s="6">
        <v>0.0</v>
      </c>
      <c r="F13" s="25">
        <v>10.0</v>
      </c>
      <c r="G13" s="27" t="s">
        <v>93</v>
      </c>
      <c r="H13" s="25">
        <v>0.0</v>
      </c>
      <c r="I13" s="27" t="s">
        <v>102</v>
      </c>
      <c r="J13" s="20"/>
      <c r="K13" s="32">
        <v>30.0</v>
      </c>
      <c r="L13" s="6">
        <v>10.0</v>
      </c>
    </row>
    <row r="14">
      <c r="A14" s="15" t="s">
        <v>99</v>
      </c>
      <c r="B14" s="15" t="s">
        <v>103</v>
      </c>
      <c r="C14" s="15" t="s">
        <v>104</v>
      </c>
      <c r="D14" s="6">
        <v>10.0</v>
      </c>
      <c r="E14" s="6">
        <v>0.0</v>
      </c>
      <c r="F14" s="25">
        <v>10.0</v>
      </c>
      <c r="G14" s="27" t="s">
        <v>105</v>
      </c>
      <c r="H14" s="25">
        <v>0.0</v>
      </c>
      <c r="I14" s="27" t="s">
        <v>102</v>
      </c>
      <c r="J14" s="20"/>
      <c r="K14" s="19"/>
    </row>
    <row r="15">
      <c r="A15" s="15" t="s">
        <v>99</v>
      </c>
      <c r="B15" s="15" t="s">
        <v>106</v>
      </c>
      <c r="C15" s="15" t="s">
        <v>107</v>
      </c>
      <c r="D15" s="6">
        <v>5.0</v>
      </c>
      <c r="E15" s="6">
        <v>0.0</v>
      </c>
      <c r="F15" s="25">
        <v>10.0</v>
      </c>
      <c r="G15" s="27" t="s">
        <v>95</v>
      </c>
      <c r="H15" s="25">
        <v>0.0</v>
      </c>
      <c r="I15" s="27" t="s">
        <v>102</v>
      </c>
      <c r="J15" s="20"/>
      <c r="K15" s="19"/>
    </row>
    <row r="16">
      <c r="A16" s="15" t="s">
        <v>99</v>
      </c>
      <c r="B16" s="15" t="s">
        <v>108</v>
      </c>
      <c r="C16" s="15" t="s">
        <v>109</v>
      </c>
      <c r="D16" s="6">
        <v>16.0</v>
      </c>
      <c r="E16" s="6">
        <v>0.0</v>
      </c>
      <c r="F16" s="25">
        <v>40.0</v>
      </c>
      <c r="G16" s="27" t="s">
        <v>95</v>
      </c>
      <c r="H16" s="25">
        <v>0.0</v>
      </c>
      <c r="I16" s="27" t="s">
        <v>102</v>
      </c>
      <c r="J16" s="20"/>
      <c r="K16" s="19"/>
    </row>
    <row r="17">
      <c r="A17" s="15" t="s">
        <v>110</v>
      </c>
      <c r="B17" s="15" t="s">
        <v>111</v>
      </c>
      <c r="C17" s="15" t="s">
        <v>104</v>
      </c>
      <c r="D17" s="6">
        <v>5.0</v>
      </c>
      <c r="E17" s="6">
        <v>0.0</v>
      </c>
      <c r="F17" s="25">
        <v>10.0</v>
      </c>
      <c r="G17" s="27" t="s">
        <v>95</v>
      </c>
      <c r="H17" s="25">
        <v>0.0</v>
      </c>
      <c r="I17" s="27" t="s">
        <v>102</v>
      </c>
      <c r="J17" s="20"/>
      <c r="K17" s="19"/>
    </row>
    <row r="22">
      <c r="D22" s="8"/>
      <c r="E22" s="6"/>
      <c r="G22" s="8"/>
    </row>
    <row r="23">
      <c r="D23" s="14"/>
      <c r="E23" s="6"/>
      <c r="G23" s="14"/>
    </row>
    <row r="24">
      <c r="D24" s="14"/>
      <c r="E24" s="6"/>
      <c r="G24" s="14"/>
    </row>
    <row r="25">
      <c r="D25" s="14"/>
      <c r="E25" s="6"/>
      <c r="G25" s="14"/>
    </row>
    <row r="26">
      <c r="D26" s="14"/>
      <c r="E26" s="6"/>
      <c r="G26" s="14"/>
    </row>
    <row r="27">
      <c r="D27" s="14"/>
      <c r="E27" s="6"/>
      <c r="G27" s="14"/>
    </row>
    <row r="28">
      <c r="D28" s="14"/>
      <c r="E28" s="6"/>
      <c r="G28" s="14"/>
    </row>
    <row r="29">
      <c r="D29" s="14"/>
      <c r="E29" s="6"/>
      <c r="G29" s="14"/>
    </row>
    <row r="30">
      <c r="D30" s="14"/>
      <c r="E30" s="6"/>
      <c r="G30" s="14"/>
    </row>
    <row r="31">
      <c r="D31" s="14"/>
      <c r="E31" s="6"/>
      <c r="G31" s="14"/>
    </row>
    <row r="32">
      <c r="D32" s="14"/>
      <c r="E32" s="6"/>
      <c r="G32" s="14"/>
    </row>
    <row r="33">
      <c r="D33" s="6"/>
      <c r="E33" s="6"/>
      <c r="G33" s="6"/>
    </row>
    <row r="34">
      <c r="D34" s="6"/>
      <c r="E34" s="6"/>
      <c r="G34" s="6"/>
    </row>
    <row r="35">
      <c r="D35" s="6"/>
      <c r="E35" s="6"/>
      <c r="G35" s="6"/>
    </row>
    <row r="36">
      <c r="D36" s="6"/>
      <c r="E36" s="6"/>
      <c r="G36" s="6"/>
    </row>
    <row r="37">
      <c r="D37" s="6"/>
      <c r="E37" s="6"/>
      <c r="G37" s="6"/>
    </row>
  </sheetData>
  <drawing r:id="rId1"/>
</worksheet>
</file>